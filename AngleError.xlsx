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2.04\home\pi\MowPi20240110Leaflet\"/>
    </mc:Choice>
  </mc:AlternateContent>
  <bookViews>
    <workbookView xWindow="0" yWindow="0" windowWidth="23040" windowHeight="9072" activeTab="1"/>
  </bookViews>
  <sheets>
    <sheet name="Blad1" sheetId="1" r:id="rId1"/>
    <sheet name="Blad2" sheetId="2" r:id="rId2"/>
    <sheet name="Blad3" sheetId="3" r:id="rId3"/>
  </sheets>
  <calcPr calcId="162913"/>
</workbook>
</file>

<file path=xl/calcChain.xml><?xml version="1.0" encoding="utf-8"?>
<calcChain xmlns="http://schemas.openxmlformats.org/spreadsheetml/2006/main">
  <c r="F9" i="3" l="1"/>
  <c r="F10" i="3"/>
  <c r="F18" i="3"/>
  <c r="F26" i="3"/>
  <c r="F8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D9" i="3"/>
  <c r="E9" i="3" s="1"/>
  <c r="D10" i="3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F17" i="3" s="1"/>
  <c r="D18" i="3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26" i="3"/>
  <c r="D8" i="3"/>
  <c r="E8" i="3" s="1"/>
  <c r="C9" i="3"/>
  <c r="I31" i="2" l="1"/>
  <c r="J29" i="2"/>
  <c r="H27" i="2"/>
  <c r="H26" i="2"/>
  <c r="J3" i="2"/>
  <c r="J14" i="2" l="1"/>
  <c r="J10" i="2"/>
  <c r="I28" i="2" l="1"/>
  <c r="G28" i="2"/>
  <c r="K2" i="2" l="1"/>
  <c r="F28" i="2"/>
  <c r="F7" i="2"/>
  <c r="K3" i="2"/>
  <c r="D4" i="1"/>
  <c r="G7" i="2" l="1"/>
  <c r="H15" i="2"/>
  <c r="J4" i="2" l="1"/>
  <c r="J5" i="2"/>
  <c r="K5" i="2" s="1"/>
  <c r="J6" i="2"/>
</calcChain>
</file>

<file path=xl/sharedStrings.xml><?xml version="1.0" encoding="utf-8"?>
<sst xmlns="http://schemas.openxmlformats.org/spreadsheetml/2006/main" count="67" uniqueCount="62">
  <si>
    <t>targetHeading</t>
  </si>
  <si>
    <t>heading</t>
  </si>
  <si>
    <t>angleError</t>
  </si>
  <si>
    <t>correction</t>
  </si>
  <si>
    <t>LM</t>
  </si>
  <si>
    <t>RM</t>
  </si>
  <si>
    <t>Berekeningnen uit AGOpengps</t>
  </si>
  <si>
    <t>goalPointAB</t>
  </si>
  <si>
    <t>easting</t>
  </si>
  <si>
    <t>northing</t>
  </si>
  <si>
    <t>pivot</t>
  </si>
  <si>
    <t>doel</t>
  </si>
  <si>
    <t>scharnier</t>
  </si>
  <si>
    <t>localheading</t>
  </si>
  <si>
    <t>goalPointDistanceDSquared</t>
  </si>
  <si>
    <t>te berekenen</t>
  </si>
  <si>
    <t>calc "D" the distance from pivot axle to lookahead point</t>
  </si>
  <si>
    <t>fixheading</t>
  </si>
  <si>
    <t>inty</t>
  </si>
  <si>
    <t>ppradiusAB</t>
  </si>
  <si>
    <t>goalPointDistanceDSquared /</t>
  </si>
  <si>
    <t>      (2 *</t>
  </si>
  <si>
    <t>        ((this.goalPointAB.easting - pivot.easting) * Math.cos(localHeading) +</t>
  </si>
  <si>
    <t>          (this.goalPointAB.northing - pivot.northing) *</t>
  </si>
  <si>
    <t>            Math.sin(localHeading)));    </t>
  </si>
  <si>
    <t>      )</t>
  </si>
  <si>
    <t>Math.atan(</t>
  </si>
  <si>
    <t>        (2 *</t>
  </si>
  <si>
    <t>          ((this.goalPointAB.easting - pivot.easting) * Math.cos(localHeading) +</t>
  </si>
  <si>
    <t>            (this.goalPointAB.northing - pivot.northing) *</t>
  </si>
  <si>
    <t>              Math.sin(localHeading)) *</t>
  </si>
  <si>
    <t>          this.mf.vehicle.wheelbase) /</t>
  </si>
  <si>
    <t>          goalPointDistanceDSquared</t>
  </si>
  <si>
    <t>ppradiusAB =</t>
  </si>
  <si>
    <t>steerAngleAB = (rad)</t>
  </si>
  <si>
    <t>steerAngleAB</t>
  </si>
  <si>
    <t>wheelbase</t>
  </si>
  <si>
    <r>
      <t>If you have an angle (</t>
    </r>
    <r>
      <rPr>
        <sz val="10"/>
        <color rgb="FF232629"/>
        <rFont val="Var(--ff-mono)"/>
      </rPr>
      <t>A</t>
    </r>
    <r>
      <rPr>
        <sz val="9"/>
        <color rgb="FF232629"/>
        <rFont val="Georgia"/>
        <family val="1"/>
      </rPr>
      <t>), in radians, in the range -Pi to Pi, then convert it to a vector (</t>
    </r>
    <r>
      <rPr>
        <sz val="10"/>
        <color rgb="FF232629"/>
        <rFont val="Var(--ff-mono)"/>
      </rPr>
      <t>V</t>
    </r>
    <r>
      <rPr>
        <sz val="9"/>
        <color rgb="FF232629"/>
        <rFont val="Georgia"/>
        <family val="1"/>
      </rPr>
      <t>) with:</t>
    </r>
  </si>
  <si>
    <t>V.x = cos(A)</t>
  </si>
  <si>
    <t>V.y = sin(A)</t>
  </si>
  <si>
    <r>
      <t>The inverse is </t>
    </r>
    <r>
      <rPr>
        <i/>
        <sz val="10"/>
        <color rgb="FF232629"/>
        <rFont val="Var(--ff-mono)"/>
      </rPr>
      <t>A = atan2(V.y, V.x)</t>
    </r>
  </si>
  <si>
    <t>R=</t>
  </si>
  <si>
    <t>Ld</t>
  </si>
  <si>
    <t>(2 sin(alpha))</t>
  </si>
  <si>
    <t>meter</t>
  </si>
  <si>
    <t>minimumTurnRadius</t>
  </si>
  <si>
    <t>ms</t>
  </si>
  <si>
    <t>Hz</t>
  </si>
  <si>
    <t>stond op 200ms</t>
  </si>
  <si>
    <t>km/u</t>
  </si>
  <si>
    <t>m/s</t>
  </si>
  <si>
    <t>formules kloppen met agopengps</t>
  </si>
  <si>
    <t>inty positief =&gt; eerste bocht wijder</t>
  </si>
  <si>
    <t> speed = ((radius - this.wheelBaseCm/2)/(radius + this.wheelBaseCm/2))*1</t>
  </si>
  <si>
    <t>radius</t>
  </si>
  <si>
    <t>left</t>
  </si>
  <si>
    <t>wheelBasecm</t>
  </si>
  <si>
    <t>factor</t>
  </si>
  <si>
    <t>Besluit = kleinere factor is korter draaien</t>
  </si>
  <si>
    <t>lspeed</t>
  </si>
  <si>
    <t>rspeed</t>
  </si>
  <si>
    <r>
      <t>localHeading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=</t>
    </r>
    <r>
      <rPr>
        <sz val="8"/>
        <color rgb="FFCCCCCC"/>
        <rFont val="Consolas"/>
        <family val="3"/>
      </rPr>
      <t xml:space="preserve"> </t>
    </r>
    <r>
      <rPr>
        <sz val="8"/>
        <color rgb="FF9CDCFE"/>
        <rFont val="Consolas"/>
        <family val="3"/>
      </rPr>
      <t>constants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twoPI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-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mf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fixHeading</t>
    </r>
    <r>
      <rPr>
        <sz val="8"/>
        <color rgb="FFCCCCCC"/>
        <rFont val="Consolas"/>
        <family val="3"/>
      </rPr>
      <t xml:space="preserve"> </t>
    </r>
    <r>
      <rPr>
        <sz val="8"/>
        <color rgb="FFD4D4D4"/>
        <rFont val="Consolas"/>
        <family val="3"/>
      </rPr>
      <t>+</t>
    </r>
    <r>
      <rPr>
        <sz val="8"/>
        <color rgb="FFCCCCCC"/>
        <rFont val="Consolas"/>
        <family val="3"/>
      </rPr>
      <t xml:space="preserve"> </t>
    </r>
    <r>
      <rPr>
        <sz val="8"/>
        <color rgb="FF569CD6"/>
        <rFont val="Consolas"/>
        <family val="3"/>
      </rPr>
      <t>this</t>
    </r>
    <r>
      <rPr>
        <sz val="8"/>
        <color rgb="FFCCCCCC"/>
        <rFont val="Consolas"/>
        <family val="3"/>
      </rPr>
      <t>.</t>
    </r>
    <r>
      <rPr>
        <sz val="8"/>
        <color rgb="FF9CDCFE"/>
        <rFont val="Consolas"/>
        <family val="3"/>
      </rPr>
      <t>inty</t>
    </r>
    <r>
      <rPr>
        <sz val="8"/>
        <color rgb="FFCCCCCC"/>
        <rFont val="Consolas"/>
        <family val="3"/>
      </rPr>
      <t>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</si>
</sst>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00"/>
    <numFmt numFmtId="165" formatCode="#,##0.00000000000"/>
    <numFmt numFmtId="166" formatCode="#,##0.000000000000"/>
  </numFmts>
  <fonts count="24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8"/>
      <name val="Consolas"/>
      <family val="3"/>
    </font>
    <font>
      <sz val="9"/>
      <color rgb="FF232629"/>
      <name val="Georgia"/>
      <family val="1"/>
    </font>
    <font>
      <sz val="10"/>
      <color rgb="FF232629"/>
      <name val="Var(--ff-mono)"/>
    </font>
    <font>
      <sz val="10"/>
      <color theme="1"/>
      <name val="Var(--ff-mono)"/>
    </font>
    <font>
      <i/>
      <sz val="9"/>
      <color rgb="FF232629"/>
      <name val="Inherit"/>
    </font>
    <font>
      <i/>
      <sz val="10"/>
      <color rgb="FF232629"/>
      <name val="Var(--ff-mono)"/>
    </font>
    <font>
      <sz val="8"/>
      <color rgb="FFCCCCCC"/>
      <name val="Consolas"/>
      <family val="3"/>
    </font>
    <font>
      <sz val="8"/>
      <color rgb="FF9CDCFE"/>
      <name val="Consolas"/>
      <family val="3"/>
    </font>
    <font>
      <sz val="8"/>
      <color rgb="FFD4D4D4"/>
      <name val="Consolas"/>
      <family val="3"/>
    </font>
    <font>
      <sz val="8"/>
      <color rgb="FF569CD6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0"/>
    <xf numFmtId="0" fontId="13" fillId="8" borderId="1"/>
    <xf numFmtId="0" fontId="1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14" fillId="0" borderId="0" xfId="0" applyFont="1" applyAlignment="1">
      <alignment vertical="center"/>
    </xf>
    <xf numFmtId="3" fontId="0" fillId="0" borderId="0" xfId="0" applyNumberFormat="1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1" fillId="0" borderId="0" xfId="0" applyFont="1" applyAlignment="1">
      <alignment vertical="center"/>
    </xf>
  </cellXfs>
  <cellStyles count="18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 (user)" xfId="9"/>
    <cellStyle name="Heading 1" xfId="10"/>
    <cellStyle name="Heading 2" xfId="11"/>
    <cellStyle name="Hyperlink" xfId="12"/>
    <cellStyle name="Neutral" xfId="13"/>
    <cellStyle name="Note" xfId="14"/>
    <cellStyle name="Standaard" xfId="0" builtinId="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056639" y="230400"/>
    <xdr:ext cx="12650759" cy="6894720"/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0-0000-0000-00000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 l="-184" t="14627" r="20414" b="7244"/>
        <a:stretch>
          <a:fillRect/>
        </a:stretch>
      </xdr:blipFill>
      <xdr:spPr>
        <a:xfrm>
          <a:off x="6056639" y="230400"/>
          <a:ext cx="12650759" cy="6894720"/>
        </a:xfrm>
        <a:prstGeom prst="rect">
          <a:avLst/>
        </a:prstGeom>
        <a:noFill/>
        <a:ln>
          <a:noFill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11</xdr:row>
      <xdr:rowOff>154365</xdr:rowOff>
    </xdr:from>
    <xdr:to>
      <xdr:col>5</xdr:col>
      <xdr:colOff>396240</xdr:colOff>
      <xdr:row>26</xdr:row>
      <xdr:rowOff>47625</xdr:rowOff>
    </xdr:to>
    <xdr:pic>
      <xdr:nvPicPr>
        <xdr:cNvPr id="4" name="Afbeelding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660" y="2082225"/>
          <a:ext cx="3459480" cy="2522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2"/>
  <sheetViews>
    <sheetView workbookViewId="0"/>
  </sheetViews>
  <sheetFormatPr defaultRowHeight="13.8"/>
  <cols>
    <col min="1" max="7" width="10.69921875" customWidth="1"/>
  </cols>
  <sheetData>
    <row r="3" spans="2:7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7">
      <c r="B4">
        <v>90</v>
      </c>
      <c r="C4">
        <v>0</v>
      </c>
      <c r="D4">
        <f>B4-C4</f>
        <v>90</v>
      </c>
      <c r="E4">
        <v>90</v>
      </c>
    </row>
    <row r="5" spans="2:7">
      <c r="B5">
        <v>90</v>
      </c>
      <c r="C5">
        <v>0</v>
      </c>
      <c r="D5">
        <v>70</v>
      </c>
      <c r="E5">
        <v>90</v>
      </c>
    </row>
    <row r="6" spans="2:7">
      <c r="B6">
        <v>90</v>
      </c>
      <c r="D6">
        <v>50</v>
      </c>
      <c r="E6">
        <v>90</v>
      </c>
    </row>
    <row r="7" spans="2:7">
      <c r="B7">
        <v>90</v>
      </c>
      <c r="D7">
        <v>30</v>
      </c>
    </row>
    <row r="8" spans="2:7">
      <c r="B8">
        <v>90</v>
      </c>
      <c r="D8">
        <v>30</v>
      </c>
    </row>
    <row r="9" spans="2:7">
      <c r="B9">
        <v>90</v>
      </c>
      <c r="D9">
        <v>25</v>
      </c>
    </row>
    <row r="10" spans="2:7">
      <c r="B10">
        <v>90</v>
      </c>
      <c r="D10">
        <v>25</v>
      </c>
    </row>
    <row r="11" spans="2:7">
      <c r="B11">
        <v>90</v>
      </c>
    </row>
    <row r="12" spans="2:7">
      <c r="B12">
        <v>90</v>
      </c>
    </row>
    <row r="13" spans="2:7">
      <c r="B13">
        <v>90</v>
      </c>
    </row>
    <row r="14" spans="2:7">
      <c r="B14">
        <v>90</v>
      </c>
    </row>
    <row r="15" spans="2:7">
      <c r="B15">
        <v>90</v>
      </c>
    </row>
    <row r="16" spans="2:7">
      <c r="B16">
        <v>90</v>
      </c>
    </row>
    <row r="17" spans="2:2">
      <c r="B17">
        <v>90</v>
      </c>
    </row>
    <row r="18" spans="2:2">
      <c r="B18">
        <v>90</v>
      </c>
    </row>
    <row r="19" spans="2:2">
      <c r="B19">
        <v>90</v>
      </c>
    </row>
    <row r="20" spans="2:2">
      <c r="B20">
        <v>90</v>
      </c>
    </row>
    <row r="21" spans="2:2">
      <c r="B21">
        <v>90</v>
      </c>
    </row>
    <row r="22" spans="2:2">
      <c r="B22">
        <v>90</v>
      </c>
    </row>
  </sheetData>
  <pageMargins left="0" right="0" top="0.39370078740157477" bottom="0.39370078740157477" header="0" footer="0"/>
  <headerFooter>
    <oddHeader>&amp;C&amp;A</oddHeader>
    <oddFooter>&amp;CPagina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E8" sqref="E8"/>
    </sheetView>
  </sheetViews>
  <sheetFormatPr defaultRowHeight="13.8"/>
  <cols>
    <col min="3" max="3" width="11" bestFit="1" customWidth="1"/>
    <col min="5" max="5" width="17.09765625" bestFit="1" customWidth="1"/>
    <col min="6" max="6" width="12.69921875" customWidth="1"/>
    <col min="8" max="8" width="40.59765625" bestFit="1" customWidth="1"/>
    <col min="9" max="9" width="19.09765625" customWidth="1"/>
    <col min="10" max="10" width="20.59765625" bestFit="1" customWidth="1"/>
  </cols>
  <sheetData>
    <row r="1" spans="1:15">
      <c r="A1" t="s">
        <v>6</v>
      </c>
      <c r="I1" t="s">
        <v>15</v>
      </c>
    </row>
    <row r="2" spans="1:15">
      <c r="B2" t="s">
        <v>11</v>
      </c>
      <c r="C2" s="1" t="s">
        <v>7</v>
      </c>
      <c r="D2" t="s">
        <v>9</v>
      </c>
      <c r="E2" s="6">
        <v>544.03134763354797</v>
      </c>
      <c r="F2" t="s">
        <v>44</v>
      </c>
      <c r="H2" s="1" t="s">
        <v>16</v>
      </c>
      <c r="I2" s="1" t="s">
        <v>14</v>
      </c>
      <c r="J2" s="7">
        <v>7.0794920848400098</v>
      </c>
      <c r="K2">
        <f>SQRT(J2)</f>
        <v>2.6607314943150522</v>
      </c>
    </row>
    <row r="3" spans="1:15">
      <c r="C3" s="1" t="s">
        <v>7</v>
      </c>
      <c r="D3" t="s">
        <v>8</v>
      </c>
      <c r="E3" s="6">
        <v>32</v>
      </c>
      <c r="I3" t="s">
        <v>13</v>
      </c>
      <c r="J3">
        <f>2*PI()-E7+E8</f>
        <v>7.8206142788999095E-2</v>
      </c>
      <c r="K3">
        <f>J3*57.2957795130823</f>
        <v>4.4808819138071234</v>
      </c>
      <c r="O3" s="14" t="s">
        <v>61</v>
      </c>
    </row>
    <row r="4" spans="1:15">
      <c r="B4" t="s">
        <v>12</v>
      </c>
      <c r="C4" t="s">
        <v>10</v>
      </c>
      <c r="D4" t="s">
        <v>9</v>
      </c>
      <c r="E4" s="6">
        <v>541.38334763354703</v>
      </c>
      <c r="F4" t="s">
        <v>44</v>
      </c>
      <c r="I4" t="s">
        <v>19</v>
      </c>
      <c r="J4">
        <f>J2/(2*(H15))</f>
        <v>-67.686019858022973</v>
      </c>
    </row>
    <row r="5" spans="1:15">
      <c r="D5" t="s">
        <v>8</v>
      </c>
      <c r="E5" s="6">
        <v>32.259970000000003</v>
      </c>
      <c r="F5" t="s">
        <v>44</v>
      </c>
      <c r="I5" t="s">
        <v>35</v>
      </c>
      <c r="J5">
        <f>TAN((2*((H15*E9)))/J2)</f>
        <v>-4.1391092040524831E-2</v>
      </c>
      <c r="K5">
        <f>J5*57.2957795130823</f>
        <v>-2.3715348833596064</v>
      </c>
    </row>
    <row r="6" spans="1:15">
      <c r="J6">
        <f>2*H15*E9/J2</f>
        <v>-4.1367478925090163E-2</v>
      </c>
    </row>
    <row r="7" spans="1:15">
      <c r="C7" t="s">
        <v>17</v>
      </c>
      <c r="E7" s="8">
        <v>6.2251373905149103</v>
      </c>
      <c r="F7">
        <f>E7*57.2957795130823</f>
        <v>356.67409936558681</v>
      </c>
      <c r="G7">
        <f>F7+K3</f>
        <v>361.15498127939395</v>
      </c>
    </row>
    <row r="8" spans="1:15">
      <c r="C8" t="s">
        <v>18</v>
      </c>
      <c r="E8">
        <v>2.0158226124323199E-2</v>
      </c>
      <c r="I8" t="s">
        <v>51</v>
      </c>
    </row>
    <row r="9" spans="1:15">
      <c r="C9" t="s">
        <v>36</v>
      </c>
      <c r="E9">
        <v>2.8</v>
      </c>
      <c r="H9" t="s">
        <v>33</v>
      </c>
      <c r="J9">
        <v>100</v>
      </c>
      <c r="K9" t="s">
        <v>46</v>
      </c>
      <c r="L9" t="s">
        <v>48</v>
      </c>
    </row>
    <row r="10" spans="1:15">
      <c r="H10" s="1" t="s">
        <v>20</v>
      </c>
      <c r="J10">
        <f>1/(J9/1000)</f>
        <v>10</v>
      </c>
      <c r="K10" t="s">
        <v>47</v>
      </c>
    </row>
    <row r="11" spans="1:15">
      <c r="H11" s="1" t="s">
        <v>21</v>
      </c>
    </row>
    <row r="12" spans="1:15">
      <c r="H12" s="1" t="s">
        <v>22</v>
      </c>
    </row>
    <row r="13" spans="1:15">
      <c r="H13" s="1" t="s">
        <v>23</v>
      </c>
      <c r="J13">
        <v>0.9</v>
      </c>
      <c r="K13" t="s">
        <v>49</v>
      </c>
    </row>
    <row r="14" spans="1:15">
      <c r="H14" s="1" t="s">
        <v>24</v>
      </c>
      <c r="J14">
        <f>J13*1000/3600</f>
        <v>0.25</v>
      </c>
      <c r="K14" t="s">
        <v>50</v>
      </c>
    </row>
    <row r="15" spans="1:15">
      <c r="H15">
        <f>((E3-E5)*COS(J3))+((E2-E4)*SIN(J3))</f>
        <v>-5.2296560646421741E-2</v>
      </c>
    </row>
    <row r="16" spans="1:15">
      <c r="H16" s="1" t="s">
        <v>34</v>
      </c>
      <c r="J16">
        <v>3</v>
      </c>
    </row>
    <row r="17" spans="2:11">
      <c r="H17" s="1" t="s">
        <v>26</v>
      </c>
    </row>
    <row r="18" spans="2:11">
      <c r="H18" s="1" t="s">
        <v>27</v>
      </c>
    </row>
    <row r="19" spans="2:11">
      <c r="H19" s="1" t="s">
        <v>28</v>
      </c>
      <c r="K19" t="s">
        <v>45</v>
      </c>
    </row>
    <row r="20" spans="2:11">
      <c r="H20" s="1" t="s">
        <v>29</v>
      </c>
    </row>
    <row r="21" spans="2:11">
      <c r="H21" s="1" t="s">
        <v>30</v>
      </c>
    </row>
    <row r="22" spans="2:11">
      <c r="H22" s="1" t="s">
        <v>31</v>
      </c>
    </row>
    <row r="23" spans="2:11">
      <c r="H23" s="1" t="s">
        <v>32</v>
      </c>
    </row>
    <row r="24" spans="2:11">
      <c r="H24" s="1" t="s">
        <v>25</v>
      </c>
      <c r="J24" t="s">
        <v>52</v>
      </c>
    </row>
    <row r="26" spans="2:11">
      <c r="H26">
        <f>0.2596888*10000</f>
        <v>2596.8879999999999</v>
      </c>
    </row>
    <row r="27" spans="2:11">
      <c r="H27">
        <f>H26/10</f>
        <v>259.68880000000001</v>
      </c>
      <c r="J27">
        <v>1.8</v>
      </c>
    </row>
    <row r="28" spans="2:11">
      <c r="D28" s="11" t="s">
        <v>41</v>
      </c>
      <c r="E28" s="5" t="s">
        <v>42</v>
      </c>
      <c r="F28">
        <f>SQRT(J2)/(2*SIN(E7))</f>
        <v>-22.931282328899584</v>
      </c>
      <c r="G28" t="e">
        <f>SQRT(1)/(2*SIN(0))</f>
        <v>#DIV/0!</v>
      </c>
      <c r="I28">
        <f>SIN(PI()/2)</f>
        <v>1</v>
      </c>
      <c r="J28">
        <v>0.95</v>
      </c>
    </row>
    <row r="29" spans="2:11">
      <c r="D29" s="11"/>
      <c r="E29" s="4" t="s">
        <v>43</v>
      </c>
      <c r="J29">
        <f>J27*J28</f>
        <v>1.71</v>
      </c>
    </row>
    <row r="31" spans="2:11">
      <c r="H31" s="2">
        <v>89.505605380520606</v>
      </c>
      <c r="I31">
        <f>(H31*PI())/180</f>
        <v>1.5621675128808366</v>
      </c>
    </row>
    <row r="32" spans="2:11" ht="41.4" customHeight="1">
      <c r="B32" s="9" t="s">
        <v>37</v>
      </c>
      <c r="C32" s="9"/>
      <c r="D32" s="9"/>
      <c r="I32">
        <v>1.5707</v>
      </c>
    </row>
    <row r="34" spans="2:4">
      <c r="B34" s="3" t="s">
        <v>38</v>
      </c>
    </row>
    <row r="35" spans="2:4">
      <c r="B35" s="3" t="s">
        <v>39</v>
      </c>
    </row>
    <row r="37" spans="2:4" ht="19.95" customHeight="1">
      <c r="B37" s="10" t="s">
        <v>40</v>
      </c>
      <c r="C37" s="10"/>
      <c r="D37" s="10"/>
    </row>
  </sheetData>
  <mergeCells count="3">
    <mergeCell ref="B32:D32"/>
    <mergeCell ref="B37:D37"/>
    <mergeCell ref="D28:D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E4" sqref="E4"/>
    </sheetView>
  </sheetViews>
  <sheetFormatPr defaultRowHeight="13.8"/>
  <cols>
    <col min="3" max="3" width="11.19921875" customWidth="1"/>
    <col min="4" max="4" width="12.8984375" customWidth="1"/>
    <col min="5" max="5" width="10.19921875" bestFit="1" customWidth="1"/>
  </cols>
  <sheetData>
    <row r="1" spans="1:6">
      <c r="A1" t="s">
        <v>58</v>
      </c>
    </row>
    <row r="3" spans="1:6">
      <c r="D3" s="12" t="s">
        <v>56</v>
      </c>
      <c r="E3" s="12" t="s">
        <v>57</v>
      </c>
    </row>
    <row r="4" spans="1:6">
      <c r="D4" s="13">
        <v>47</v>
      </c>
      <c r="E4" s="13">
        <v>200</v>
      </c>
    </row>
    <row r="5" spans="1:6">
      <c r="B5" s="1" t="s">
        <v>53</v>
      </c>
    </row>
    <row r="7" spans="1:6">
      <c r="B7" t="s">
        <v>55</v>
      </c>
      <c r="C7" t="s">
        <v>54</v>
      </c>
      <c r="E7" t="s">
        <v>59</v>
      </c>
      <c r="F7" t="s">
        <v>60</v>
      </c>
    </row>
    <row r="8" spans="1:6">
      <c r="B8">
        <v>1</v>
      </c>
      <c r="C8">
        <v>0</v>
      </c>
      <c r="D8">
        <f>(C8*$E$4-$D$4/2)/(C8*$E$4+$D$4/2)</f>
        <v>-1</v>
      </c>
      <c r="E8">
        <f>IF(B8,D8,1)</f>
        <v>-1</v>
      </c>
      <c r="F8">
        <f>IF(B8,1,D8)</f>
        <v>1</v>
      </c>
    </row>
    <row r="9" spans="1:6">
      <c r="B9">
        <v>1</v>
      </c>
      <c r="C9">
        <f>0.622540083063549</f>
        <v>0.62254008306354902</v>
      </c>
      <c r="D9">
        <f>(C9*$E$4-$D$4/2)/(C9*$E$4+$D$4/2)</f>
        <v>0.68244963296154326</v>
      </c>
      <c r="E9">
        <f t="shared" ref="E9:E25" si="0">IF(B9,D9,1)</f>
        <v>0.68244963296154326</v>
      </c>
      <c r="F9">
        <f t="shared" ref="F9:F26" si="1">IF(B9,1,D9)</f>
        <v>1</v>
      </c>
    </row>
    <row r="10" spans="1:6">
      <c r="D10">
        <f>(C10*$E$4-$D$4/2)/(C10*$E$4+$D$4/2)</f>
        <v>-1</v>
      </c>
      <c r="E10">
        <f t="shared" si="0"/>
        <v>1</v>
      </c>
      <c r="F10">
        <f t="shared" si="1"/>
        <v>-1</v>
      </c>
    </row>
    <row r="11" spans="1:6">
      <c r="D11">
        <f>(C11*$E$4-$D$4/2)/(C11*$E$4+$D$4/2)</f>
        <v>-1</v>
      </c>
      <c r="E11">
        <f t="shared" si="0"/>
        <v>1</v>
      </c>
      <c r="F11">
        <f t="shared" si="1"/>
        <v>-1</v>
      </c>
    </row>
    <row r="12" spans="1:6">
      <c r="D12">
        <f>(C12*$E$4-$D$4/2)/(C12*$E$4+$D$4/2)</f>
        <v>-1</v>
      </c>
      <c r="E12">
        <f t="shared" si="0"/>
        <v>1</v>
      </c>
      <c r="F12">
        <f t="shared" si="1"/>
        <v>-1</v>
      </c>
    </row>
    <row r="13" spans="1:6">
      <c r="D13">
        <f>(C13*$E$4-$D$4/2)/(C13*$E$4+$D$4/2)</f>
        <v>-1</v>
      </c>
      <c r="E13">
        <f t="shared" si="0"/>
        <v>1</v>
      </c>
      <c r="F13">
        <f t="shared" si="1"/>
        <v>-1</v>
      </c>
    </row>
    <row r="14" spans="1:6">
      <c r="D14">
        <f>(C14*$E$4-$D$4/2)/(C14*$E$4+$D$4/2)</f>
        <v>-1</v>
      </c>
      <c r="E14">
        <f t="shared" si="0"/>
        <v>1</v>
      </c>
      <c r="F14">
        <f t="shared" si="1"/>
        <v>-1</v>
      </c>
    </row>
    <row r="15" spans="1:6">
      <c r="D15">
        <f>(C15*$E$4-$D$4/2)/(C15*$E$4+$D$4/2)</f>
        <v>-1</v>
      </c>
      <c r="E15">
        <f t="shared" si="0"/>
        <v>1</v>
      </c>
      <c r="F15">
        <f t="shared" si="1"/>
        <v>-1</v>
      </c>
    </row>
    <row r="16" spans="1:6">
      <c r="D16">
        <f>(C16*$E$4-$D$4/2)/(C16*$E$4+$D$4/2)</f>
        <v>-1</v>
      </c>
      <c r="E16">
        <f t="shared" si="0"/>
        <v>1</v>
      </c>
      <c r="F16">
        <f t="shared" si="1"/>
        <v>-1</v>
      </c>
    </row>
    <row r="17" spans="4:6">
      <c r="D17">
        <f>(C17*$E$4-$D$4/2)/(C17*$E$4+$D$4/2)</f>
        <v>-1</v>
      </c>
      <c r="E17">
        <f t="shared" si="0"/>
        <v>1</v>
      </c>
      <c r="F17">
        <f t="shared" si="1"/>
        <v>-1</v>
      </c>
    </row>
    <row r="18" spans="4:6">
      <c r="D18">
        <f>(C18*$E$4-$D$4/2)/(C18*$E$4+$D$4/2)</f>
        <v>-1</v>
      </c>
      <c r="E18">
        <f t="shared" si="0"/>
        <v>1</v>
      </c>
      <c r="F18">
        <f t="shared" si="1"/>
        <v>-1</v>
      </c>
    </row>
    <row r="19" spans="4:6">
      <c r="D19">
        <f>(C19*$E$4-$D$4/2)/(C19*$E$4+$D$4/2)</f>
        <v>-1</v>
      </c>
      <c r="E19">
        <f t="shared" si="0"/>
        <v>1</v>
      </c>
      <c r="F19">
        <f t="shared" si="1"/>
        <v>-1</v>
      </c>
    </row>
    <row r="20" spans="4:6">
      <c r="D20">
        <f>(C20*$E$4-$D$4/2)/(C20*$E$4+$D$4/2)</f>
        <v>-1</v>
      </c>
      <c r="E20">
        <f t="shared" si="0"/>
        <v>1</v>
      </c>
      <c r="F20">
        <f t="shared" si="1"/>
        <v>-1</v>
      </c>
    </row>
    <row r="21" spans="4:6">
      <c r="D21">
        <f>(C21*$E$4-$D$4/2)/(C21*$E$4+$D$4/2)</f>
        <v>-1</v>
      </c>
      <c r="E21">
        <f t="shared" si="0"/>
        <v>1</v>
      </c>
      <c r="F21">
        <f t="shared" si="1"/>
        <v>-1</v>
      </c>
    </row>
    <row r="22" spans="4:6">
      <c r="D22">
        <f>(C22*$E$4-$D$4/2)/(C22*$E$4+$D$4/2)</f>
        <v>-1</v>
      </c>
      <c r="E22">
        <f t="shared" si="0"/>
        <v>1</v>
      </c>
      <c r="F22">
        <f t="shared" si="1"/>
        <v>-1</v>
      </c>
    </row>
    <row r="23" spans="4:6">
      <c r="D23">
        <f>(C23*$E$4-$D$4/2)/(C23*$E$4+$D$4/2)</f>
        <v>-1</v>
      </c>
      <c r="E23">
        <f t="shared" si="0"/>
        <v>1</v>
      </c>
      <c r="F23">
        <f t="shared" si="1"/>
        <v>-1</v>
      </c>
    </row>
    <row r="24" spans="4:6">
      <c r="D24">
        <f>(C24*$E$4-$D$4/2)/(C24*$E$4+$D$4/2)</f>
        <v>-1</v>
      </c>
      <c r="E24">
        <f t="shared" si="0"/>
        <v>1</v>
      </c>
      <c r="F24">
        <f t="shared" si="1"/>
        <v>-1</v>
      </c>
    </row>
    <row r="25" spans="4:6">
      <c r="D25">
        <f>(C25*$E$4-$D$4/2)/(C25*$E$4+$D$4/2)</f>
        <v>-1</v>
      </c>
      <c r="E25">
        <f t="shared" si="0"/>
        <v>1</v>
      </c>
      <c r="F25">
        <f t="shared" si="1"/>
        <v>-1</v>
      </c>
    </row>
    <row r="26" spans="4:6">
      <c r="D26">
        <f>(C26*$E$4-$D$4/2)/(C26*$E$4+$D$4/2)</f>
        <v>-1</v>
      </c>
      <c r="F26">
        <f t="shared" si="1"/>
        <v>-1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cp:revision>3</cp:revision>
  <dcterms:created xsi:type="dcterms:W3CDTF">2020-09-15T08:53:08Z</dcterms:created>
  <dcterms:modified xsi:type="dcterms:W3CDTF">2024-01-22T12:03:10Z</dcterms:modified>
</cp:coreProperties>
</file>